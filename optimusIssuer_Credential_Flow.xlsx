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eorg\GolandProjects\optimusIssuer\"/>
    </mc:Choice>
  </mc:AlternateContent>
  <xr:revisionPtr revIDLastSave="0" documentId="13_ncr:1_{EE95ADFC-61D9-4555-B772-EB1032CF9551}" xr6:coauthVersionLast="47" xr6:coauthVersionMax="47" xr10:uidLastSave="{00000000-0000-0000-0000-000000000000}"/>
  <bookViews>
    <workbookView xWindow="-120" yWindow="-120" windowWidth="29040" windowHeight="15720" tabRatio="500" xr2:uid="{00000000-000D-0000-FFFF-FFFF00000000}"/>
  </bookViews>
  <sheets>
    <sheet name="Credential Flow" sheetId="1" r:id="rId1"/>
    <sheet name="Actors" sheetId="2" r:id="rId2"/>
  </sheets>
  <definedNames>
    <definedName name="_xlnm._FilterDatabase" localSheetId="0" hidden="1">'Credential Flow'!$A$4:$F$18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 l="1"/>
  <c r="C22" i="1"/>
  <c r="C21" i="1"/>
  <c r="C20" i="1"/>
</calcChain>
</file>

<file path=xl/sharedStrings.xml><?xml version="1.0" encoding="utf-8"?>
<sst xmlns="http://schemas.openxmlformats.org/spreadsheetml/2006/main" count="133" uniqueCount="82">
  <si>
    <t>optimusIssuer — credential flow</t>
  </si>
  <si>
    <t>Step</t>
  </si>
  <si>
    <t>Actor</t>
  </si>
  <si>
    <t>Payload</t>
  </si>
  <si>
    <t>Reaches</t>
  </si>
  <si>
    <t>Requires the issuer key</t>
  </si>
  <si>
    <t>Touches an agent</t>
  </si>
  <si>
    <t>1 Generate keys</t>
  </si>
  <si>
    <t>application</t>
  </si>
  <si>
    <t>none</t>
  </si>
  <si>
    <t>nothing</t>
  </si>
  <si>
    <t>No</t>
  </si>
  <si>
    <t>2 Submit request</t>
  </si>
  <si>
    <t>CredentialRequest JSON, DID only</t>
  </si>
  <si>
    <t>optimusIssuer</t>
  </si>
  <si>
    <t>2a Review and approve</t>
  </si>
  <si>
    <t>approval, possibly narrowed capabilities</t>
  </si>
  <si>
    <t>3 Sign credential</t>
  </si>
  <si>
    <t>VerifiableCredential returned to the requester</t>
  </si>
  <si>
    <t>signs internally</t>
  </si>
  <si>
    <t>Yes</t>
  </si>
  <si>
    <t>3a Record the issuance</t>
  </si>
  <si>
    <t>crudput on whoiswho</t>
  </si>
  <si>
    <t>agent</t>
  </si>
  <si>
    <t>4 Install and inspect</t>
  </si>
  <si>
    <t>two files</t>
  </si>
  <si>
    <t>5 Load identity</t>
  </si>
  <si>
    <t>6 Get challenge</t>
  </si>
  <si>
    <t>{challenge, domain, expires_in}</t>
  </si>
  <si>
    <t>7 Build presentation</t>
  </si>
  <si>
    <t>VerifiablePresentation</t>
  </si>
  <si>
    <t>8 Write record</t>
  </si>
  <si>
    <t>command + Authorization header</t>
  </si>
  <si>
    <t>9 Query</t>
  </si>
  <si>
    <t>as above, fresh challenge</t>
  </si>
  <si>
    <t>10 Revoke</t>
  </si>
  <si>
    <t>revocation record signed, written to kbtrust</t>
  </si>
  <si>
    <t>— Bootstrap</t>
  </si>
  <si>
    <t>root issuer, offline</t>
  </si>
  <si>
    <t>genesis list naming both issuer DIDs</t>
  </si>
  <si>
    <t>ConfigMap</t>
  </si>
  <si>
    <t>— Emergency</t>
  </si>
  <si>
    <t>marks optimusIssuer inactive in kbtrust</t>
  </si>
  <si>
    <t>steps</t>
  </si>
  <si>
    <t>require the issuer key</t>
  </si>
  <si>
    <t>touch an agent</t>
  </si>
  <si>
    <t>are entirely local to the application</t>
  </si>
  <si>
    <t>Note. Steps 1, 4, 5 and 7 involve no network at all — key generation, file handling and signing happen on the application's own machine. Only steps 3, 10, Bootstrap and Emergency need an issuer private key, and the last two use the offline root key rather than the service key held by optimusIssuer.</t>
  </si>
  <si>
    <t>Actors and what each holds</t>
  </si>
  <si>
    <t>Holds</t>
  </si>
  <si>
    <t>Key material</t>
  </si>
  <si>
    <t>Where it runs</t>
  </si>
  <si>
    <t>Needed for verification</t>
  </si>
  <si>
    <t>its own key pair and a credential</t>
  </si>
  <si>
    <t>private key, mode 0600, on its own host</t>
  </si>
  <si>
    <t>anywhere</t>
  </si>
  <si>
    <t>n/a — it is the caller</t>
  </si>
  <si>
    <t>operator</t>
  </si>
  <si>
    <t>a Keycloak browser session</t>
  </si>
  <si>
    <t>none — a person, not a key</t>
  </si>
  <si>
    <t>browser</t>
  </si>
  <si>
    <t>the service issuer key</t>
  </si>
  <si>
    <t>Kubernetes Secret, mounted read-only</t>
  </si>
  <si>
    <t>its own namespace</t>
  </si>
  <si>
    <t>root issuer</t>
  </si>
  <si>
    <t>the root key</t>
  </si>
  <si>
    <t>offline, encrypted volume or hardware token</t>
  </si>
  <si>
    <t>outside the cluster</t>
  </si>
  <si>
    <t>OptimusDB agent</t>
  </si>
  <si>
    <t>its own libp2p identity and the trust list</t>
  </si>
  <si>
    <t>existing libp2p key on the PVC</t>
  </si>
  <si>
    <t>optimusddc namespace</t>
  </si>
  <si>
    <t>Yes — it is the verifier</t>
  </si>
  <si>
    <t>Keycloak</t>
  </si>
  <si>
    <t>the operator realm</t>
  </si>
  <si>
    <t>none relevant to credentials</t>
  </si>
  <si>
    <t>Only the agent is required for a request to be authorized. optimusIssuer, Keycloak and the root issuer can all be unreachable while an application continues to present credentials and have them accepted.</t>
  </si>
  <si>
    <t>application to  optimusIssuer</t>
  </si>
  <si>
    <t>operator to  optimusIssuer UI</t>
  </si>
  <si>
    <t>optimusIssuer to  agent</t>
  </si>
  <si>
    <t>application to  agent</t>
  </si>
  <si>
    <t>operator to  optimusIssuer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</si>
</sst>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A1A1A"/>
      <name val="Arial"/>
      <charset val="1"/>
    </font>
    <font>
      <sz val="9"/>
      <color rgb="FF595959"/>
      <name val="Arial"/>
      <charset val="1"/>
    </font>
    <font>
      <b/>
      <sz val="10"/>
      <color rgb="FF1A1A1A"/>
      <name val="Arial"/>
      <charset val="1"/>
    </font>
    <font>
      <sz val="10"/>
      <color rgb="FF1A1A1A"/>
      <name val="Arial"/>
      <charset val="1"/>
    </font>
    <font>
      <b/>
      <i/>
      <sz val="10"/>
      <color rgb="FF1A1A1A"/>
      <name val="Arial"/>
      <charset val="1"/>
    </font>
    <font>
      <i/>
      <sz val="10"/>
      <color rgb="FF1A1A1A"/>
      <name val="Arial"/>
      <charset val="1"/>
    </font>
    <font>
      <b/>
      <sz val="10"/>
      <name val="Arial"/>
      <charset val="1"/>
    </font>
  </fonts>
  <fills count="5">
    <fill>
      <patternFill patternType="none"/>
    </fill>
    <fill>
      <patternFill patternType="gray125"/>
    </fill>
    <fill>
      <patternFill patternType="solid">
        <fgColor rgb="FFD9D9D9"/>
        <bgColor rgb="FFF2F2F2"/>
      </patternFill>
    </fill>
    <fill>
      <patternFill patternType="solid">
        <fgColor rgb="FFF2F2F2"/>
        <bgColor rgb="FFFFF2CC"/>
      </patternFill>
    </fill>
    <fill>
      <patternFill patternType="solid">
        <fgColor rgb="FFFFF2C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2" fillId="0" borderId="0" xfId="0" applyFont="1" applyAlignment="1">
      <alignment vertical="top" wrapText="1"/>
    </xf>
    <xf numFmtId="0" fontId="1" fillId="0" borderId="0" xfId="0" applyFont="1"/>
    <xf numFmtId="0" fontId="3" fillId="2" borderId="1" xfId="0" applyFont="1" applyFill="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7" fillId="0" borderId="0" xfId="0" applyFont="1"/>
    <xf numFmtId="0" fontId="2" fillId="0" borderId="0" xfId="0" applyFont="1"/>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6"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zoomScaleNormal="100" workbookViewId="0">
      <pane ySplit="4" topLeftCell="A6" activePane="bottomLeft" state="frozen"/>
      <selection pane="bottomLeft" activeCell="F10" sqref="F10"/>
    </sheetView>
  </sheetViews>
  <sheetFormatPr defaultColWidth="8.7109375" defaultRowHeight="15" x14ac:dyDescent="0.25"/>
  <cols>
    <col min="1" max="1" width="22" customWidth="1"/>
    <col min="2" max="2" width="30" customWidth="1"/>
    <col min="3" max="3" width="42" customWidth="1"/>
    <col min="4" max="4" width="22" customWidth="1"/>
    <col min="5" max="5" width="20" customWidth="1"/>
    <col min="6" max="6" width="17" customWidth="1"/>
  </cols>
  <sheetData>
    <row r="1" spans="1:6" ht="18" x14ac:dyDescent="0.25">
      <c r="A1" s="2" t="s">
        <v>0</v>
      </c>
    </row>
    <row r="2" spans="1:6" x14ac:dyDescent="0.25">
      <c r="A2" s="1"/>
      <c r="B2" s="1"/>
      <c r="C2" s="1"/>
      <c r="D2" s="1"/>
      <c r="E2" s="1"/>
      <c r="F2" s="1"/>
    </row>
    <row r="4" spans="1:6" ht="30" customHeight="1" x14ac:dyDescent="0.25">
      <c r="A4" s="3" t="s">
        <v>1</v>
      </c>
      <c r="B4" s="3" t="s">
        <v>2</v>
      </c>
      <c r="C4" s="3" t="s">
        <v>3</v>
      </c>
      <c r="D4" s="3" t="s">
        <v>4</v>
      </c>
      <c r="E4" s="3" t="s">
        <v>5</v>
      </c>
      <c r="F4" s="3" t="s">
        <v>6</v>
      </c>
    </row>
    <row r="5" spans="1:6" ht="27.75" customHeight="1" x14ac:dyDescent="0.25">
      <c r="A5" s="4" t="s">
        <v>7</v>
      </c>
      <c r="B5" s="14" t="s">
        <v>8</v>
      </c>
      <c r="C5" s="11" t="s">
        <v>9</v>
      </c>
      <c r="D5" s="11" t="s">
        <v>10</v>
      </c>
      <c r="E5" s="11" t="s">
        <v>11</v>
      </c>
      <c r="F5" s="11" t="s">
        <v>11</v>
      </c>
    </row>
    <row r="6" spans="1:6" ht="27.75" customHeight="1" x14ac:dyDescent="0.25">
      <c r="A6" s="6" t="s">
        <v>12</v>
      </c>
      <c r="B6" s="15" t="s">
        <v>77</v>
      </c>
      <c r="C6" s="12" t="s">
        <v>13</v>
      </c>
      <c r="D6" s="12" t="s">
        <v>14</v>
      </c>
      <c r="E6" s="12" t="s">
        <v>11</v>
      </c>
      <c r="F6" s="12" t="s">
        <v>11</v>
      </c>
    </row>
    <row r="7" spans="1:6" ht="27.75" customHeight="1" x14ac:dyDescent="0.25">
      <c r="A7" s="4" t="s">
        <v>15</v>
      </c>
      <c r="B7" s="14" t="s">
        <v>78</v>
      </c>
      <c r="C7" s="11" t="s">
        <v>16</v>
      </c>
      <c r="D7" s="11" t="s">
        <v>14</v>
      </c>
      <c r="E7" s="11" t="s">
        <v>11</v>
      </c>
      <c r="F7" s="11" t="s">
        <v>11</v>
      </c>
    </row>
    <row r="8" spans="1:6" ht="27.75" customHeight="1" x14ac:dyDescent="0.25">
      <c r="A8" s="6" t="s">
        <v>17</v>
      </c>
      <c r="B8" s="15" t="s">
        <v>14</v>
      </c>
      <c r="C8" s="12" t="s">
        <v>18</v>
      </c>
      <c r="D8" s="12" t="s">
        <v>19</v>
      </c>
      <c r="E8" s="12" t="s">
        <v>20</v>
      </c>
      <c r="F8" s="12" t="s">
        <v>11</v>
      </c>
    </row>
    <row r="9" spans="1:6" ht="27.75" customHeight="1" x14ac:dyDescent="0.25">
      <c r="A9" s="4" t="s">
        <v>21</v>
      </c>
      <c r="B9" s="14" t="s">
        <v>79</v>
      </c>
      <c r="C9" s="11" t="s">
        <v>22</v>
      </c>
      <c r="D9" s="11" t="s">
        <v>23</v>
      </c>
      <c r="E9" s="11" t="s">
        <v>11</v>
      </c>
      <c r="F9" s="11" t="s">
        <v>20</v>
      </c>
    </row>
    <row r="10" spans="1:6" ht="27.75" customHeight="1" x14ac:dyDescent="0.25">
      <c r="A10" s="6" t="s">
        <v>24</v>
      </c>
      <c r="B10" s="15" t="s">
        <v>8</v>
      </c>
      <c r="C10" s="12" t="s">
        <v>25</v>
      </c>
      <c r="D10" s="12" t="s">
        <v>10</v>
      </c>
      <c r="E10" s="12" t="s">
        <v>11</v>
      </c>
      <c r="F10" s="12" t="s">
        <v>11</v>
      </c>
    </row>
    <row r="11" spans="1:6" ht="27.75" customHeight="1" x14ac:dyDescent="0.25">
      <c r="A11" s="4" t="s">
        <v>26</v>
      </c>
      <c r="B11" s="14" t="s">
        <v>8</v>
      </c>
      <c r="C11" s="11" t="s">
        <v>9</v>
      </c>
      <c r="D11" s="11" t="s">
        <v>10</v>
      </c>
      <c r="E11" s="11" t="s">
        <v>11</v>
      </c>
      <c r="F11" s="11" t="s">
        <v>11</v>
      </c>
    </row>
    <row r="12" spans="1:6" ht="27.75" customHeight="1" x14ac:dyDescent="0.25">
      <c r="A12" s="6" t="s">
        <v>27</v>
      </c>
      <c r="B12" s="15" t="s">
        <v>80</v>
      </c>
      <c r="C12" s="12" t="s">
        <v>28</v>
      </c>
      <c r="D12" s="12" t="s">
        <v>23</v>
      </c>
      <c r="E12" s="12" t="s">
        <v>11</v>
      </c>
      <c r="F12" s="12" t="s">
        <v>20</v>
      </c>
    </row>
    <row r="13" spans="1:6" ht="27.75" customHeight="1" x14ac:dyDescent="0.25">
      <c r="A13" s="4" t="s">
        <v>29</v>
      </c>
      <c r="B13" s="14" t="s">
        <v>8</v>
      </c>
      <c r="C13" s="11" t="s">
        <v>30</v>
      </c>
      <c r="D13" s="11" t="s">
        <v>10</v>
      </c>
      <c r="E13" s="11" t="s">
        <v>11</v>
      </c>
      <c r="F13" s="11" t="s">
        <v>11</v>
      </c>
    </row>
    <row r="14" spans="1:6" ht="27.75" customHeight="1" x14ac:dyDescent="0.25">
      <c r="A14" s="6" t="s">
        <v>31</v>
      </c>
      <c r="B14" s="15" t="s">
        <v>80</v>
      </c>
      <c r="C14" s="12" t="s">
        <v>32</v>
      </c>
      <c r="D14" s="12" t="s">
        <v>23</v>
      </c>
      <c r="E14" s="12" t="s">
        <v>11</v>
      </c>
      <c r="F14" s="12" t="s">
        <v>20</v>
      </c>
    </row>
    <row r="15" spans="1:6" ht="27.75" customHeight="1" x14ac:dyDescent="0.25">
      <c r="A15" s="4" t="s">
        <v>33</v>
      </c>
      <c r="B15" s="14" t="s">
        <v>80</v>
      </c>
      <c r="C15" s="11" t="s">
        <v>34</v>
      </c>
      <c r="D15" s="11" t="s">
        <v>23</v>
      </c>
      <c r="E15" s="11" t="s">
        <v>11</v>
      </c>
      <c r="F15" s="11" t="s">
        <v>20</v>
      </c>
    </row>
    <row r="16" spans="1:6" ht="27.75" customHeight="1" x14ac:dyDescent="0.25">
      <c r="A16" s="6" t="s">
        <v>35</v>
      </c>
      <c r="B16" s="15" t="s">
        <v>81</v>
      </c>
      <c r="C16" s="12" t="s">
        <v>36</v>
      </c>
      <c r="D16" s="12" t="s">
        <v>79</v>
      </c>
      <c r="E16" s="12" t="s">
        <v>20</v>
      </c>
      <c r="F16" s="12" t="s">
        <v>20</v>
      </c>
    </row>
    <row r="17" spans="1:6" ht="27.75" customHeight="1" x14ac:dyDescent="0.25">
      <c r="A17" s="8" t="s">
        <v>37</v>
      </c>
      <c r="B17" s="16" t="s">
        <v>38</v>
      </c>
      <c r="C17" s="13" t="s">
        <v>39</v>
      </c>
      <c r="D17" s="13" t="s">
        <v>40</v>
      </c>
      <c r="E17" s="13" t="s">
        <v>20</v>
      </c>
      <c r="F17" s="13" t="s">
        <v>11</v>
      </c>
    </row>
    <row r="18" spans="1:6" ht="27.75" customHeight="1" x14ac:dyDescent="0.25">
      <c r="A18" s="8" t="s">
        <v>41</v>
      </c>
      <c r="B18" s="16" t="s">
        <v>38</v>
      </c>
      <c r="C18" s="13" t="s">
        <v>42</v>
      </c>
      <c r="D18" s="13" t="s">
        <v>23</v>
      </c>
      <c r="E18" s="13" t="s">
        <v>20</v>
      </c>
      <c r="F18" s="13" t="s">
        <v>20</v>
      </c>
    </row>
    <row r="20" spans="1:6" x14ac:dyDescent="0.25">
      <c r="A20" s="9"/>
      <c r="C20" s="9">
        <f>COUNTA(A5:A18)</f>
        <v>14</v>
      </c>
      <c r="D20" s="10" t="s">
        <v>43</v>
      </c>
    </row>
    <row r="21" spans="1:6" x14ac:dyDescent="0.25">
      <c r="C21" s="9">
        <f>COUNTIF(E5:E18,"Yes")</f>
        <v>4</v>
      </c>
      <c r="D21" s="10" t="s">
        <v>44</v>
      </c>
    </row>
    <row r="22" spans="1:6" x14ac:dyDescent="0.25">
      <c r="C22" s="9">
        <f>COUNTIF(F5:F18,"Yes")</f>
        <v>6</v>
      </c>
      <c r="D22" s="10" t="s">
        <v>45</v>
      </c>
    </row>
    <row r="23" spans="1:6" x14ac:dyDescent="0.25">
      <c r="C23" s="9">
        <f>COUNTIFS(E5:E18,"No",F5:F18,"No")</f>
        <v>6</v>
      </c>
      <c r="D23" s="10" t="s">
        <v>46</v>
      </c>
    </row>
    <row r="25" spans="1:6" ht="15" customHeight="1" x14ac:dyDescent="0.25">
      <c r="A25" s="1" t="s">
        <v>47</v>
      </c>
      <c r="B25" s="1"/>
      <c r="C25" s="1"/>
      <c r="D25" s="1"/>
      <c r="E25" s="1"/>
      <c r="F25" s="1"/>
    </row>
    <row r="26" spans="1:6" x14ac:dyDescent="0.25">
      <c r="A26" s="1"/>
      <c r="B26" s="1"/>
      <c r="C26" s="1"/>
      <c r="D26" s="1"/>
      <c r="E26" s="1"/>
      <c r="F26" s="1"/>
    </row>
  </sheetData>
  <autoFilter ref="A4:F18" xr:uid="{00000000-0009-0000-0000-000000000000}"/>
  <mergeCells count="2">
    <mergeCell ref="A2:F2"/>
    <mergeCell ref="A25:F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pane ySplit="3" topLeftCell="A4" activePane="bottomLeft" state="frozen"/>
      <selection pane="bottomLeft" activeCell="A12" sqref="A12:E13"/>
    </sheetView>
  </sheetViews>
  <sheetFormatPr defaultColWidth="8.7109375" defaultRowHeight="15" x14ac:dyDescent="0.25"/>
  <cols>
    <col min="1" max="1" width="18" customWidth="1"/>
    <col min="2" max="2" width="34" customWidth="1"/>
    <col min="3" max="3" width="40" customWidth="1"/>
    <col min="4" max="4" width="24" customWidth="1"/>
    <col min="5" max="5" width="26" customWidth="1"/>
  </cols>
  <sheetData>
    <row r="1" spans="1:5" ht="18" x14ac:dyDescent="0.25">
      <c r="A1" s="2" t="s">
        <v>48</v>
      </c>
    </row>
    <row r="3" spans="1:5" x14ac:dyDescent="0.25">
      <c r="A3" s="3" t="s">
        <v>2</v>
      </c>
      <c r="B3" s="3" t="s">
        <v>49</v>
      </c>
      <c r="C3" s="3" t="s">
        <v>50</v>
      </c>
      <c r="D3" s="3" t="s">
        <v>51</v>
      </c>
      <c r="E3" s="3" t="s">
        <v>52</v>
      </c>
    </row>
    <row r="4" spans="1:5" ht="30" customHeight="1" x14ac:dyDescent="0.25">
      <c r="A4" s="4" t="s">
        <v>8</v>
      </c>
      <c r="B4" s="5" t="s">
        <v>53</v>
      </c>
      <c r="C4" s="5" t="s">
        <v>54</v>
      </c>
      <c r="D4" s="5" t="s">
        <v>55</v>
      </c>
      <c r="E4" s="5" t="s">
        <v>56</v>
      </c>
    </row>
    <row r="5" spans="1:5" ht="30" customHeight="1" x14ac:dyDescent="0.25">
      <c r="A5" s="6" t="s">
        <v>57</v>
      </c>
      <c r="B5" s="7" t="s">
        <v>58</v>
      </c>
      <c r="C5" s="7" t="s">
        <v>59</v>
      </c>
      <c r="D5" s="7" t="s">
        <v>60</v>
      </c>
      <c r="E5" s="7" t="s">
        <v>11</v>
      </c>
    </row>
    <row r="6" spans="1:5" ht="30" customHeight="1" x14ac:dyDescent="0.25">
      <c r="A6" s="4" t="s">
        <v>14</v>
      </c>
      <c r="B6" s="5" t="s">
        <v>61</v>
      </c>
      <c r="C6" s="5" t="s">
        <v>62</v>
      </c>
      <c r="D6" s="5" t="s">
        <v>63</v>
      </c>
      <c r="E6" s="5" t="s">
        <v>11</v>
      </c>
    </row>
    <row r="7" spans="1:5" ht="30" customHeight="1" x14ac:dyDescent="0.25">
      <c r="A7" s="6" t="s">
        <v>64</v>
      </c>
      <c r="B7" s="7" t="s">
        <v>65</v>
      </c>
      <c r="C7" s="7" t="s">
        <v>66</v>
      </c>
      <c r="D7" s="7" t="s">
        <v>67</v>
      </c>
      <c r="E7" s="7" t="s">
        <v>11</v>
      </c>
    </row>
    <row r="8" spans="1:5" ht="30" customHeight="1" x14ac:dyDescent="0.25">
      <c r="A8" s="4" t="s">
        <v>68</v>
      </c>
      <c r="B8" s="5" t="s">
        <v>69</v>
      </c>
      <c r="C8" s="5" t="s">
        <v>70</v>
      </c>
      <c r="D8" s="5" t="s">
        <v>71</v>
      </c>
      <c r="E8" s="5" t="s">
        <v>72</v>
      </c>
    </row>
    <row r="9" spans="1:5" ht="30" customHeight="1" x14ac:dyDescent="0.25">
      <c r="A9" s="6" t="s">
        <v>73</v>
      </c>
      <c r="B9" s="7" t="s">
        <v>74</v>
      </c>
      <c r="C9" s="7" t="s">
        <v>75</v>
      </c>
      <c r="D9" s="7" t="s">
        <v>71</v>
      </c>
      <c r="E9" s="7" t="s">
        <v>11</v>
      </c>
    </row>
    <row r="12" spans="1:5" ht="15" customHeight="1" x14ac:dyDescent="0.25">
      <c r="A12" s="1" t="s">
        <v>76</v>
      </c>
      <c r="B12" s="1"/>
      <c r="C12" s="1"/>
      <c r="D12" s="1"/>
      <c r="E12" s="1"/>
    </row>
    <row r="13" spans="1:5" x14ac:dyDescent="0.25">
      <c r="A13" s="1"/>
      <c r="B13" s="1"/>
      <c r="C13" s="1"/>
      <c r="D13" s="1"/>
      <c r="E13" s="1"/>
    </row>
  </sheetData>
  <mergeCells count="1">
    <mergeCell ref="A12:E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Credential Flow</vt:lpstr>
      <vt:lpstr>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George Georgakakos</cp:lastModifiedBy>
  <cp:revision>0</cp:revision>
  <dcterms:created xsi:type="dcterms:W3CDTF">2026-09-19T15:37:34Z</dcterms:created>
  <dcterms:modified xsi:type="dcterms:W3CDTF">2026-09-19T15:40:33Z</dcterms:modified>
  <dc:language>en-US</dc:language>
</cp:coreProperties>
</file>